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c71b5673b02bb/FULL STACK EXCEL/"/>
    </mc:Choice>
  </mc:AlternateContent>
  <xr:revisionPtr revIDLastSave="195" documentId="8_{83324B36-137D-8441-94D9-A85D8B59FC7C}" xr6:coauthVersionLast="47" xr6:coauthVersionMax="47" xr10:uidLastSave="{4C4A7AF4-BB5F-4A5C-B2DE-E625A7967ABF}"/>
  <bookViews>
    <workbookView xWindow="-120" yWindow="-120" windowWidth="29040" windowHeight="15720" activeTab="4" xr2:uid="{8DD5FCFD-5888-49A8-BF20-394BD07E356D}"/>
  </bookViews>
  <sheets>
    <sheet name="Data" sheetId="1" r:id="rId1"/>
    <sheet name="Moving_average" sheetId="2" r:id="rId2"/>
    <sheet name="Anova" sheetId="3" r:id="rId3"/>
    <sheet name="Covariance" sheetId="4" r:id="rId4"/>
    <sheet name="Correlation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K7" i="4"/>
  <c r="K6" i="4"/>
  <c r="H7" i="4"/>
  <c r="G6" i="4"/>
  <c r="F5" i="4"/>
  <c r="H5" i="2" l="1"/>
  <c r="H6" i="2"/>
  <c r="H7" i="2"/>
  <c r="H8" i="2"/>
  <c r="H9" i="2"/>
  <c r="H10" i="2"/>
  <c r="H11" i="2"/>
  <c r="H12" i="2"/>
  <c r="H13" i="2"/>
  <c r="G5" i="2"/>
  <c r="G6" i="2"/>
  <c r="G7" i="2"/>
  <c r="G8" i="2"/>
  <c r="G9" i="2"/>
  <c r="G10" i="2"/>
  <c r="G11" i="2"/>
  <c r="G12" i="2"/>
  <c r="G13" i="2"/>
  <c r="H4" i="2"/>
  <c r="G4" i="2"/>
  <c r="F5" i="2"/>
  <c r="F6" i="2"/>
  <c r="F7" i="2"/>
  <c r="F8" i="2"/>
  <c r="F9" i="2"/>
  <c r="F10" i="2"/>
  <c r="F11" i="2"/>
  <c r="F12" i="2"/>
  <c r="F13" i="2"/>
  <c r="F4" i="2"/>
</calcChain>
</file>

<file path=xl/sharedStrings.xml><?xml version="1.0" encoding="utf-8"?>
<sst xmlns="http://schemas.openxmlformats.org/spreadsheetml/2006/main" count="78" uniqueCount="39">
  <si>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</si>
  <si>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</si>
  <si>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</si>
  <si>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</si>
  <si>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</si>
  <si>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</si>
  <si>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</si>
  <si>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</si>
  <si>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</si>
  <si>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Average A</t>
  </si>
  <si>
    <t>Average B</t>
  </si>
  <si>
    <t>Average C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</si>
  <si>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</si>
  <si>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</si>
  <si>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</si>
  <si>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</si>
  <si>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</si>
  <si>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</si>
  <si>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</si>
  <si>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</si>
  <si>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</si>
  <si>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</si>
  <si>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</si>
  <si>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</si>
  <si>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</si>
  <si>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</si>
  <si>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</si>
  <si>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</si>
  <si>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</si>
  <si>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</si>
  <si>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F&lt;F CRIT</t>
  </si>
  <si>
    <t>P-value&gt;0.05</t>
  </si>
  <si>
    <t>null hypothesis is accepted</t>
  </si>
  <si>
    <t>A-B</t>
  </si>
  <si>
    <t>B-C</t>
  </si>
  <si>
    <t>A-C</t>
  </si>
  <si>
    <t>Covariance</t>
  </si>
  <si>
    <t>The covariance values are negative,indicating inverse movement between the products. Stronger negative values reflect stronger opposite fluctuations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</si>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</sst>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Moving average</a:t>
            </a:r>
          </a:p>
        </c:rich>
      </c:tx>
      <c:layout>
        <c:manualLayout>
          <c:xMode val="edge"/>
          <c:yMode val="edge"/>
          <c:x val="0.36782633420822403"/>
          <c:y val="3.4632034632034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Moving_average!$D$1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Moving_average!$D$2:$D$13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3-4DE5-90F1-74018BA96552}"/>
            </c:ext>
          </c:extLst>
        </c:ser>
        <c:ser>
          <c:idx val="1"/>
          <c:order val="1"/>
          <c:tx>
            <c:strRef>
              <c:f>Moving_average!$E$1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Moving_average!$E$2:$E$13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3-4DE5-90F1-74018BA96552}"/>
            </c:ext>
          </c:extLst>
        </c:ser>
        <c:ser>
          <c:idx val="2"/>
          <c:order val="2"/>
          <c:tx>
            <c:strRef>
              <c:f>Moving_average!$F$1</c:f>
              <c:strCache>
                <c:ptCount val="1"/>
                <c:pt idx="0">
                  <c:v>Average 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Moving_average!$F$2:$F$13</c:f>
              <c:numCache>
                <c:formatCode>General</c:formatCode>
                <c:ptCount val="12"/>
                <c:pt idx="2">
                  <c:v>6012.333333333333</c:v>
                </c:pt>
                <c:pt idx="3">
                  <c:v>5634</c:v>
                </c:pt>
                <c:pt idx="4">
                  <c:v>6514</c:v>
                </c:pt>
                <c:pt idx="5">
                  <c:v>6501.666666666667</c:v>
                </c:pt>
                <c:pt idx="6">
                  <c:v>6518.333333333333</c:v>
                </c:pt>
                <c:pt idx="7">
                  <c:v>6471.666666666667</c:v>
                </c:pt>
                <c:pt idx="8">
                  <c:v>5999.666666666667</c:v>
                </c:pt>
                <c:pt idx="9">
                  <c:v>7257</c:v>
                </c:pt>
                <c:pt idx="10">
                  <c:v>7005.333333333333</c:v>
                </c:pt>
                <c:pt idx="11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E3-4DE5-90F1-74018BA96552}"/>
            </c:ext>
          </c:extLst>
        </c:ser>
        <c:ser>
          <c:idx val="3"/>
          <c:order val="3"/>
          <c:tx>
            <c:strRef>
              <c:f>Moving_average!$G$1</c:f>
              <c:strCache>
                <c:ptCount val="1"/>
                <c:pt idx="0">
                  <c:v>Average 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Moving_average!$G$2:$G$13</c:f>
              <c:numCache>
                <c:formatCode>General</c:formatCode>
                <c:ptCount val="12"/>
                <c:pt idx="2">
                  <c:v>8455.6666666666661</c:v>
                </c:pt>
                <c:pt idx="3">
                  <c:v>8373</c:v>
                </c:pt>
                <c:pt idx="4">
                  <c:v>6564.333333333333</c:v>
                </c:pt>
                <c:pt idx="5">
                  <c:v>6131</c:v>
                </c:pt>
                <c:pt idx="6">
                  <c:v>7048</c:v>
                </c:pt>
                <c:pt idx="7">
                  <c:v>6503.666666666667</c:v>
                </c:pt>
                <c:pt idx="8">
                  <c:v>6734.666666666667</c:v>
                </c:pt>
                <c:pt idx="9">
                  <c:v>5203</c:v>
                </c:pt>
                <c:pt idx="10">
                  <c:v>6140</c:v>
                </c:pt>
                <c:pt idx="11">
                  <c:v>4365.333333333333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E3-4DE5-90F1-74018BA96552}"/>
            </c:ext>
          </c:extLst>
        </c:ser>
        <c:ser>
          <c:idx val="4"/>
          <c:order val="4"/>
          <c:tx>
            <c:strRef>
              <c:f>Moving_average!$H$1</c:f>
              <c:strCache>
                <c:ptCount val="1"/>
                <c:pt idx="0">
                  <c:v>Average 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Moving_average!$H$2:$H$13</c:f>
              <c:numCache>
                <c:formatCode>General</c:formatCode>
                <c:ptCount val="12"/>
                <c:pt idx="2">
                  <c:v>5439.666666666667</c:v>
                </c:pt>
                <c:pt idx="3">
                  <c:v>5639</c:v>
                </c:pt>
                <c:pt idx="4">
                  <c:v>5385.666666666667</c:v>
                </c:pt>
                <c:pt idx="5">
                  <c:v>5560</c:v>
                </c:pt>
                <c:pt idx="6">
                  <c:v>6924.666666666667</c:v>
                </c:pt>
                <c:pt idx="7">
                  <c:v>6420.666666666667</c:v>
                </c:pt>
                <c:pt idx="8">
                  <c:v>6226.666666666667</c:v>
                </c:pt>
                <c:pt idx="9">
                  <c:v>5804</c:v>
                </c:pt>
                <c:pt idx="10">
                  <c:v>6396.333333333333</c:v>
                </c:pt>
                <c:pt idx="11">
                  <c:v>7252.333333333333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E3-4DE5-90F1-74018BA96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350768"/>
        <c:axId val="2114793360"/>
      </c:lineChart>
      <c:catAx>
        <c:axId val="204735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93360"/>
        <c:crosses val="autoZero"/>
        <c:auto val="1"/>
        <c:lblAlgn val="ctr"/>
        <c:lblOffset val="100"/>
        <c:noMultiLvlLbl val="0"/>
      </c:catAx>
      <c:valAx>
        <c:axId val="21147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Correlations</a:t>
            </a:r>
            <a:r>
              <a:rPr lang="en-US" b="1" baseline="0"/>
              <a:t> line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Correlation!$A$1</c:f>
              <c:strCache>
                <c:ptCount val="1"/>
                <c:pt idx="0">
                  <c:v>Product A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Correlation!$A$2:$A$13</c:f>
              <c:numCache>
                <c:formatCode>General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1-4A71-82DB-1B188FB14181}"/>
            </c:ext>
          </c:extLst>
        </c:ser>
        <c:ser>
          <c:idx val="1"/>
          <c:order val="1"/>
          <c:tx>
            <c:strRef>
              <c:f>Correlation!$B$1</c:f>
              <c:strCache>
                <c:ptCount val="1"/>
                <c:pt idx="0">
                  <c:v>Product B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Correlation!$B$2:$B$13</c:f>
              <c:numCache>
                <c:formatCode>General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1-4A71-82DB-1B188FB14181}"/>
            </c:ext>
          </c:extLst>
        </c:ser>
        <c:ser>
          <c:idx val="2"/>
          <c:order val="2"/>
          <c:tx>
            <c:strRef>
              <c:f>Correlation!$C$1</c:f>
              <c:strCache>
                <c:ptCount val="1"/>
                <c:pt idx="0">
                  <c:v>Product C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Correlation!$C$2:$C$13</c:f>
              <c:numCache>
                <c:formatCode>General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1-4A71-82DB-1B188FB14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555679"/>
        <c:axId val="2114920560"/>
      </c:lineChart>
      <c:catAx>
        <c:axId val="280555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20560"/>
        <c:crosses val="autoZero"/>
        <c:auto val="1"/>
        <c:lblAlgn val="ctr"/>
        <c:lblOffset val="100"/>
        <c:noMultiLvlLbl val="0"/>
      </c:catAx>
      <c:valAx>
        <c:axId val="211492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5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0</xdr:row>
      <xdr:rowOff>76200</xdr:rowOff>
    </xdr:from>
    <xdr:to>
      <xdr:col>16</xdr:col>
      <xdr:colOff>95250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A6E6F3-A304-9D52-37F2-2A8412F6C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6</xdr:row>
      <xdr:rowOff>114300</xdr:rowOff>
    </xdr:from>
    <xdr:to>
      <xdr:col>10</xdr:col>
      <xdr:colOff>1000125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ACB77-D824-2619-52A9-52EA2D357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53B3-E052-482C-A3AA-C82EF1F114ED}">
  <dimension ref="A1:E13"/>
  <sheetViews>
    <sheetView workbookViewId="0">
      <selection activeCell="C1" sqref="C1:E1048576"/>
    </sheetView>
  </sheetViews>
  <sheetFormatPr defaultRowHeight="15" x14ac:dyDescent="0.25"/>
  <cols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2019</v>
      </c>
      <c r="B2" t="s">
        <v>5</v>
      </c>
      <c r="C2">
        <v>5674</v>
      </c>
      <c r="D2">
        <v>6721</v>
      </c>
      <c r="E2">
        <v>3947</v>
      </c>
    </row>
    <row r="3" spans="1:5" x14ac:dyDescent="0.25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5" x14ac:dyDescent="0.25">
      <c r="A4">
        <v>2019</v>
      </c>
      <c r="B4" t="s">
        <v>7</v>
      </c>
      <c r="C4">
        <v>8765</v>
      </c>
      <c r="D4">
        <v>9272</v>
      </c>
      <c r="E4">
        <v>5100</v>
      </c>
    </row>
    <row r="5" spans="1:5" x14ac:dyDescent="0.25">
      <c r="A5">
        <v>2019</v>
      </c>
      <c r="B5" t="s">
        <v>8</v>
      </c>
      <c r="C5">
        <v>4539</v>
      </c>
      <c r="D5">
        <v>6473</v>
      </c>
      <c r="E5">
        <v>4545</v>
      </c>
    </row>
    <row r="6" spans="1:5" x14ac:dyDescent="0.25">
      <c r="A6">
        <v>2020</v>
      </c>
      <c r="B6" t="s">
        <v>5</v>
      </c>
      <c r="C6">
        <v>6238</v>
      </c>
      <c r="D6">
        <v>3948</v>
      </c>
      <c r="E6">
        <v>6512</v>
      </c>
    </row>
    <row r="7" spans="1:5" x14ac:dyDescent="0.25">
      <c r="A7">
        <v>2020</v>
      </c>
      <c r="B7" t="s">
        <v>6</v>
      </c>
      <c r="C7">
        <v>8728</v>
      </c>
      <c r="D7">
        <v>7972</v>
      </c>
      <c r="E7">
        <v>5623</v>
      </c>
    </row>
    <row r="8" spans="1:5" x14ac:dyDescent="0.25">
      <c r="A8">
        <v>2020</v>
      </c>
      <c r="B8" t="s">
        <v>7</v>
      </c>
      <c r="C8">
        <v>4589</v>
      </c>
      <c r="D8">
        <v>9224</v>
      </c>
      <c r="E8">
        <v>8639</v>
      </c>
    </row>
    <row r="9" spans="1:5" x14ac:dyDescent="0.25">
      <c r="A9">
        <v>2020</v>
      </c>
      <c r="B9" t="s">
        <v>8</v>
      </c>
      <c r="C9">
        <v>6098</v>
      </c>
      <c r="D9">
        <v>2315</v>
      </c>
      <c r="E9">
        <v>5000</v>
      </c>
    </row>
    <row r="10" spans="1:5" x14ac:dyDescent="0.25">
      <c r="A10">
        <v>2021</v>
      </c>
      <c r="B10" t="s">
        <v>5</v>
      </c>
      <c r="C10">
        <v>7312</v>
      </c>
      <c r="D10">
        <v>8665</v>
      </c>
      <c r="E10">
        <v>5041</v>
      </c>
    </row>
    <row r="11" spans="1:5" x14ac:dyDescent="0.25">
      <c r="A11">
        <v>2021</v>
      </c>
      <c r="B11" t="s">
        <v>6</v>
      </c>
      <c r="C11">
        <v>8361</v>
      </c>
      <c r="D11">
        <v>4629</v>
      </c>
      <c r="E11">
        <v>7371</v>
      </c>
    </row>
    <row r="12" spans="1:5" x14ac:dyDescent="0.25">
      <c r="A12">
        <v>2021</v>
      </c>
      <c r="B12" t="s">
        <v>7</v>
      </c>
      <c r="C12">
        <v>5343</v>
      </c>
      <c r="D12">
        <v>5126</v>
      </c>
      <c r="E12">
        <v>6777</v>
      </c>
    </row>
    <row r="13" spans="1:5" x14ac:dyDescent="0.25">
      <c r="A13">
        <v>2021</v>
      </c>
      <c r="B13" t="s">
        <v>8</v>
      </c>
      <c r="C13">
        <v>8265</v>
      </c>
      <c r="D13">
        <v>3341</v>
      </c>
      <c r="E13">
        <v>7609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AED0-7721-43CB-A24D-2F75E4CB6FF1}">
  <dimension ref="A1:H13"/>
  <sheetViews>
    <sheetView workbookViewId="0">
      <selection activeCell="D1" sqref="D1:H13"/>
    </sheetView>
  </sheetViews>
  <sheetFormatPr defaultRowHeight="15" x14ac:dyDescent="0.25"/>
  <cols>
    <col min="1" max="1" width="14.5703125" customWidth="1"/>
    <col min="2" max="2" width="12.42578125" customWidth="1"/>
    <col min="3" max="3" width="14.42578125" customWidth="1"/>
    <col min="6" max="6" width="10.28515625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0</v>
      </c>
      <c r="F1" t="s">
        <v>9</v>
      </c>
      <c r="G1" t="s">
        <v>10</v>
      </c>
      <c r="H1" t="s">
        <v>11</v>
      </c>
    </row>
    <row r="2" spans="1:8" x14ac:dyDescent="0.25">
      <c r="A2">
        <v>5674</v>
      </c>
      <c r="B2">
        <v>6721</v>
      </c>
      <c r="C2">
        <v>3947</v>
      </c>
      <c r="D2">
        <v>2019</v>
      </c>
    </row>
    <row r="3" spans="1:8" x14ac:dyDescent="0.25">
      <c r="A3">
        <v>3598</v>
      </c>
      <c r="B3">
        <v>9374</v>
      </c>
      <c r="C3">
        <v>7272</v>
      </c>
      <c r="D3">
        <v>2019</v>
      </c>
    </row>
    <row r="4" spans="1:8" x14ac:dyDescent="0.25">
      <c r="A4">
        <v>8765</v>
      </c>
      <c r="B4">
        <v>9272</v>
      </c>
      <c r="C4">
        <v>5100</v>
      </c>
      <c r="D4">
        <v>2019</v>
      </c>
      <c r="F4">
        <f>AVERAGE((A2:A4))</f>
        <v>6012.333333333333</v>
      </c>
      <c r="G4">
        <f>AVERAGE(B2:B4)</f>
        <v>8455.6666666666661</v>
      </c>
      <c r="H4">
        <f>AVERAGE(C2:C4)</f>
        <v>5439.666666666667</v>
      </c>
    </row>
    <row r="5" spans="1:8" x14ac:dyDescent="0.25">
      <c r="A5">
        <v>4539</v>
      </c>
      <c r="B5">
        <v>6473</v>
      </c>
      <c r="C5">
        <v>4545</v>
      </c>
      <c r="D5">
        <v>2019</v>
      </c>
      <c r="F5">
        <f t="shared" ref="F5:F13" si="0">AVERAGE((A3:A5))</f>
        <v>5634</v>
      </c>
      <c r="G5">
        <f t="shared" ref="G5:G13" si="1">AVERAGE(B3:B5)</f>
        <v>8373</v>
      </c>
      <c r="H5">
        <f t="shared" ref="H5:H13" si="2">AVERAGE(C3:C5)</f>
        <v>5639</v>
      </c>
    </row>
    <row r="6" spans="1:8" x14ac:dyDescent="0.25">
      <c r="A6">
        <v>6238</v>
      </c>
      <c r="B6">
        <v>3948</v>
      </c>
      <c r="C6">
        <v>6512</v>
      </c>
      <c r="D6">
        <v>2020</v>
      </c>
      <c r="F6">
        <f t="shared" si="0"/>
        <v>6514</v>
      </c>
      <c r="G6">
        <f t="shared" si="1"/>
        <v>6564.333333333333</v>
      </c>
      <c r="H6">
        <f t="shared" si="2"/>
        <v>5385.666666666667</v>
      </c>
    </row>
    <row r="7" spans="1:8" x14ac:dyDescent="0.25">
      <c r="A7">
        <v>8728</v>
      </c>
      <c r="B7">
        <v>7972</v>
      </c>
      <c r="C7">
        <v>5623</v>
      </c>
      <c r="D7">
        <v>2020</v>
      </c>
      <c r="F7">
        <f t="shared" si="0"/>
        <v>6501.666666666667</v>
      </c>
      <c r="G7">
        <f t="shared" si="1"/>
        <v>6131</v>
      </c>
      <c r="H7">
        <f t="shared" si="2"/>
        <v>5560</v>
      </c>
    </row>
    <row r="8" spans="1:8" x14ac:dyDescent="0.25">
      <c r="A8">
        <v>4589</v>
      </c>
      <c r="B8">
        <v>9224</v>
      </c>
      <c r="C8">
        <v>8639</v>
      </c>
      <c r="D8">
        <v>2020</v>
      </c>
      <c r="F8">
        <f t="shared" si="0"/>
        <v>6518.333333333333</v>
      </c>
      <c r="G8">
        <f t="shared" si="1"/>
        <v>7048</v>
      </c>
      <c r="H8">
        <f t="shared" si="2"/>
        <v>6924.666666666667</v>
      </c>
    </row>
    <row r="9" spans="1:8" x14ac:dyDescent="0.25">
      <c r="A9">
        <v>6098</v>
      </c>
      <c r="B9">
        <v>2315</v>
      </c>
      <c r="C9">
        <v>5000</v>
      </c>
      <c r="D9">
        <v>2020</v>
      </c>
      <c r="F9">
        <f t="shared" si="0"/>
        <v>6471.666666666667</v>
      </c>
      <c r="G9">
        <f t="shared" si="1"/>
        <v>6503.666666666667</v>
      </c>
      <c r="H9">
        <f t="shared" si="2"/>
        <v>6420.666666666667</v>
      </c>
    </row>
    <row r="10" spans="1:8" x14ac:dyDescent="0.25">
      <c r="A10">
        <v>7312</v>
      </c>
      <c r="B10">
        <v>8665</v>
      </c>
      <c r="C10">
        <v>5041</v>
      </c>
      <c r="D10">
        <v>2021</v>
      </c>
      <c r="F10">
        <f t="shared" si="0"/>
        <v>5999.666666666667</v>
      </c>
      <c r="G10">
        <f t="shared" si="1"/>
        <v>6734.666666666667</v>
      </c>
      <c r="H10">
        <f t="shared" si="2"/>
        <v>6226.666666666667</v>
      </c>
    </row>
    <row r="11" spans="1:8" x14ac:dyDescent="0.25">
      <c r="A11">
        <v>8361</v>
      </c>
      <c r="B11">
        <v>4629</v>
      </c>
      <c r="C11">
        <v>7371</v>
      </c>
      <c r="D11">
        <v>2021</v>
      </c>
      <c r="F11">
        <f t="shared" si="0"/>
        <v>7257</v>
      </c>
      <c r="G11">
        <f t="shared" si="1"/>
        <v>5203</v>
      </c>
      <c r="H11">
        <f t="shared" si="2"/>
        <v>5804</v>
      </c>
    </row>
    <row r="12" spans="1:8" x14ac:dyDescent="0.25">
      <c r="A12">
        <v>5343</v>
      </c>
      <c r="B12">
        <v>5126</v>
      </c>
      <c r="C12">
        <v>6777</v>
      </c>
      <c r="D12">
        <v>2021</v>
      </c>
      <c r="F12">
        <f t="shared" si="0"/>
        <v>7005.333333333333</v>
      </c>
      <c r="G12">
        <f t="shared" si="1"/>
        <v>6140</v>
      </c>
      <c r="H12">
        <f t="shared" si="2"/>
        <v>6396.333333333333</v>
      </c>
    </row>
    <row r="13" spans="1:8" x14ac:dyDescent="0.25">
      <c r="A13">
        <v>8265</v>
      </c>
      <c r="B13">
        <v>3341</v>
      </c>
      <c r="C13">
        <v>7609</v>
      </c>
      <c r="D13">
        <v>2021</v>
      </c>
      <c r="F13">
        <f t="shared" si="0"/>
        <v>7323</v>
      </c>
      <c r="G13">
        <f t="shared" si="1"/>
        <v>4365.333333333333</v>
      </c>
      <c r="H13">
        <f t="shared" si="2"/>
        <v>7252.333333333333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A011-D225-465C-BA98-250519F6F164}">
  <dimension ref="A1:L20"/>
  <sheetViews>
    <sheetView topLeftCell="A2" workbookViewId="0">
      <selection activeCell="H27" sqref="H27"/>
    </sheetView>
  </sheetViews>
  <sheetFormatPr defaultRowHeight="15" x14ac:dyDescent="0.25"/>
  <cols>
    <col min="3" max="3" width="15" customWidth="1"/>
    <col min="6" max="6" width="20.42578125" customWidth="1"/>
  </cols>
  <sheetData>
    <row r="1" spans="1:12" x14ac:dyDescent="0.25">
      <c r="A1" t="s">
        <v>2</v>
      </c>
      <c r="B1" t="s">
        <v>3</v>
      </c>
      <c r="C1" t="s">
        <v>4</v>
      </c>
    </row>
    <row r="2" spans="1:12" x14ac:dyDescent="0.25">
      <c r="A2">
        <v>5674</v>
      </c>
      <c r="B2">
        <v>6721</v>
      </c>
      <c r="C2">
        <v>3947</v>
      </c>
    </row>
    <row r="3" spans="1:12" x14ac:dyDescent="0.25">
      <c r="A3">
        <v>3598</v>
      </c>
      <c r="B3">
        <v>9374</v>
      </c>
      <c r="C3">
        <v>7272</v>
      </c>
      <c r="F3" t="s">
        <v>12</v>
      </c>
    </row>
    <row r="4" spans="1:12" x14ac:dyDescent="0.25">
      <c r="A4">
        <v>8765</v>
      </c>
      <c r="B4">
        <v>9272</v>
      </c>
      <c r="C4">
        <v>5100</v>
      </c>
    </row>
    <row r="5" spans="1:12" ht="15.75" thickBot="1" x14ac:dyDescent="0.3">
      <c r="A5">
        <v>4539</v>
      </c>
      <c r="B5">
        <v>6473</v>
      </c>
      <c r="C5">
        <v>4545</v>
      </c>
      <c r="F5" t="s">
        <v>13</v>
      </c>
    </row>
    <row r="6" spans="1:12" x14ac:dyDescent="0.25">
      <c r="A6">
        <v>6238</v>
      </c>
      <c r="B6">
        <v>3948</v>
      </c>
      <c r="C6">
        <v>6512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2" x14ac:dyDescent="0.25">
      <c r="A7">
        <v>8728</v>
      </c>
      <c r="B7">
        <v>7972</v>
      </c>
      <c r="C7">
        <v>5623</v>
      </c>
      <c r="F7" s="1" t="s">
        <v>2</v>
      </c>
      <c r="G7" s="1">
        <v>12</v>
      </c>
      <c r="H7" s="1">
        <v>77510</v>
      </c>
      <c r="I7" s="1">
        <v>6459.166666666667</v>
      </c>
      <c r="J7" s="1">
        <v>3225664.515151517</v>
      </c>
    </row>
    <row r="8" spans="1:12" x14ac:dyDescent="0.25">
      <c r="A8">
        <v>4589</v>
      </c>
      <c r="B8">
        <v>9224</v>
      </c>
      <c r="C8">
        <v>8639</v>
      </c>
      <c r="F8" s="1" t="s">
        <v>3</v>
      </c>
      <c r="G8" s="1">
        <v>12</v>
      </c>
      <c r="H8" s="1">
        <v>77060</v>
      </c>
      <c r="I8" s="1">
        <v>6421.666666666667</v>
      </c>
      <c r="J8" s="1">
        <v>6326246.2424242441</v>
      </c>
    </row>
    <row r="9" spans="1:12" ht="15.75" thickBot="1" x14ac:dyDescent="0.3">
      <c r="A9">
        <v>6098</v>
      </c>
      <c r="B9">
        <v>2315</v>
      </c>
      <c r="C9">
        <v>5000</v>
      </c>
      <c r="F9" s="2" t="s">
        <v>4</v>
      </c>
      <c r="G9" s="2">
        <v>12</v>
      </c>
      <c r="H9" s="2">
        <v>73436</v>
      </c>
      <c r="I9" s="2">
        <v>6119.666666666667</v>
      </c>
      <c r="J9" s="2">
        <v>2086227.515151517</v>
      </c>
    </row>
    <row r="10" spans="1:12" x14ac:dyDescent="0.25">
      <c r="A10">
        <v>7312</v>
      </c>
      <c r="B10">
        <v>8665</v>
      </c>
      <c r="C10">
        <v>5041</v>
      </c>
    </row>
    <row r="11" spans="1:12" x14ac:dyDescent="0.25">
      <c r="A11">
        <v>8361</v>
      </c>
      <c r="B11">
        <v>4629</v>
      </c>
      <c r="C11">
        <v>7371</v>
      </c>
    </row>
    <row r="12" spans="1:12" ht="15.75" thickBot="1" x14ac:dyDescent="0.3">
      <c r="A12">
        <v>5343</v>
      </c>
      <c r="B12">
        <v>5126</v>
      </c>
      <c r="C12">
        <v>6777</v>
      </c>
      <c r="F12" t="s">
        <v>19</v>
      </c>
    </row>
    <row r="13" spans="1:12" x14ac:dyDescent="0.25">
      <c r="A13">
        <v>8265</v>
      </c>
      <c r="B13">
        <v>3341</v>
      </c>
      <c r="C13">
        <v>7609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</row>
    <row r="14" spans="1:12" x14ac:dyDescent="0.25">
      <c r="F14" s="1" t="s">
        <v>27</v>
      </c>
      <c r="G14" s="1">
        <v>831481.9999999851</v>
      </c>
      <c r="H14" s="1">
        <v>2</v>
      </c>
      <c r="I14" s="1">
        <v>415740.99999999255</v>
      </c>
      <c r="J14" s="1">
        <v>0.10716688277563351</v>
      </c>
      <c r="K14" s="1">
        <v>0.89868709868225538</v>
      </c>
      <c r="L14" s="1">
        <v>3.2849176510382869</v>
      </c>
    </row>
    <row r="15" spans="1:12" x14ac:dyDescent="0.25">
      <c r="F15" s="1" t="s">
        <v>28</v>
      </c>
      <c r="G15" s="1">
        <v>128019521.00000001</v>
      </c>
      <c r="H15" s="1">
        <v>33</v>
      </c>
      <c r="I15" s="1">
        <v>3879379.4242424248</v>
      </c>
      <c r="J15" s="1"/>
      <c r="K15" s="1"/>
      <c r="L15" s="1"/>
    </row>
    <row r="16" spans="1:12" x14ac:dyDescent="0.25">
      <c r="F16" s="1"/>
      <c r="G16" s="1"/>
      <c r="H16" s="1"/>
      <c r="I16" s="1"/>
      <c r="J16" s="1"/>
      <c r="K16" s="1"/>
      <c r="L16" s="1"/>
    </row>
    <row r="17" spans="6:12" ht="15.75" thickBot="1" x14ac:dyDescent="0.3">
      <c r="F17" s="2" t="s">
        <v>29</v>
      </c>
      <c r="G17" s="2">
        <v>128851003</v>
      </c>
      <c r="H17" s="2">
        <v>35</v>
      </c>
      <c r="I17" s="2"/>
      <c r="J17" s="2"/>
      <c r="K17" s="2"/>
      <c r="L17" s="2"/>
    </row>
    <row r="19" spans="6:12" x14ac:dyDescent="0.25">
      <c r="F19" s="4" t="s">
        <v>30</v>
      </c>
      <c r="G19" s="5" t="s">
        <v>32</v>
      </c>
      <c r="H19" s="5"/>
      <c r="I19" s="5"/>
    </row>
    <row r="20" spans="6:12" x14ac:dyDescent="0.25">
      <c r="F20" s="4" t="s">
        <v>31</v>
      </c>
      <c r="G20" s="5"/>
      <c r="H20" s="5"/>
      <c r="I20" s="5"/>
    </row>
  </sheetData>
  <mergeCells count="1">
    <mergeCell ref="G19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2AFE-9173-4792-95B9-3368580EB090}">
  <dimension ref="A1:K13"/>
  <sheetViews>
    <sheetView workbookViewId="0">
      <selection sqref="A1:C13"/>
    </sheetView>
  </sheetViews>
  <sheetFormatPr defaultRowHeight="15" x14ac:dyDescent="0.25"/>
  <cols>
    <col min="3" max="3" width="15" customWidth="1"/>
    <col min="6" max="6" width="14.28515625" customWidth="1"/>
    <col min="7" max="7" width="14.140625" customWidth="1"/>
    <col min="8" max="8" width="14.7109375" customWidth="1"/>
    <col min="11" max="11" width="12.5703125" customWidth="1"/>
  </cols>
  <sheetData>
    <row r="1" spans="1:11" x14ac:dyDescent="0.25">
      <c r="A1" t="s">
        <v>2</v>
      </c>
      <c r="B1" t="s">
        <v>3</v>
      </c>
      <c r="C1" t="s">
        <v>4</v>
      </c>
    </row>
    <row r="2" spans="1:11" x14ac:dyDescent="0.25">
      <c r="A2">
        <v>5674</v>
      </c>
      <c r="B2">
        <v>6721</v>
      </c>
      <c r="C2">
        <v>3947</v>
      </c>
    </row>
    <row r="3" spans="1:11" ht="15.75" thickBot="1" x14ac:dyDescent="0.3">
      <c r="A3">
        <v>3598</v>
      </c>
      <c r="B3">
        <v>9374</v>
      </c>
      <c r="C3">
        <v>7272</v>
      </c>
    </row>
    <row r="4" spans="1:11" x14ac:dyDescent="0.25">
      <c r="A4">
        <v>8765</v>
      </c>
      <c r="B4">
        <v>9272</v>
      </c>
      <c r="C4">
        <v>5100</v>
      </c>
      <c r="E4" s="3"/>
      <c r="F4" s="3" t="s">
        <v>2</v>
      </c>
      <c r="G4" s="3" t="s">
        <v>3</v>
      </c>
      <c r="H4" s="3" t="s">
        <v>4</v>
      </c>
    </row>
    <row r="5" spans="1:11" x14ac:dyDescent="0.25">
      <c r="A5">
        <v>4539</v>
      </c>
      <c r="B5">
        <v>6473</v>
      </c>
      <c r="C5">
        <v>4545</v>
      </c>
      <c r="E5" s="1" t="s">
        <v>2</v>
      </c>
      <c r="F5" s="1">
        <f>VARP(Covariance!$A$2:$A$13)</f>
        <v>2956859.138888889</v>
      </c>
      <c r="G5" s="1"/>
      <c r="H5" s="1"/>
      <c r="J5" s="4"/>
      <c r="K5" s="7" t="s">
        <v>36</v>
      </c>
    </row>
    <row r="6" spans="1:11" x14ac:dyDescent="0.25">
      <c r="A6">
        <v>6238</v>
      </c>
      <c r="B6">
        <v>3948</v>
      </c>
      <c r="C6">
        <v>6512</v>
      </c>
      <c r="E6" s="1" t="s">
        <v>3</v>
      </c>
      <c r="F6" s="1">
        <v>-626214.36111111112</v>
      </c>
      <c r="G6" s="1">
        <f>VARP(Covariance!$B$2:$B$13)</f>
        <v>5799059.055555556</v>
      </c>
      <c r="H6" s="1"/>
      <c r="J6" s="4" t="s">
        <v>33</v>
      </c>
      <c r="K6" s="4">
        <f>_xlfn.COVARIANCE.P(A2:A13,B2:B13)</f>
        <v>-626214.36111111112</v>
      </c>
    </row>
    <row r="7" spans="1:11" ht="15.75" thickBot="1" x14ac:dyDescent="0.3">
      <c r="A7">
        <v>8728</v>
      </c>
      <c r="B7">
        <v>7972</v>
      </c>
      <c r="C7">
        <v>5623</v>
      </c>
      <c r="E7" s="2" t="s">
        <v>4</v>
      </c>
      <c r="F7" s="2">
        <v>-251982.02777777772</v>
      </c>
      <c r="G7" s="2">
        <v>-35062.527777777788</v>
      </c>
      <c r="H7" s="2">
        <f>VARP(Covariance!$C$2:$C$13)</f>
        <v>1912375.2222222222</v>
      </c>
      <c r="J7" s="4" t="s">
        <v>35</v>
      </c>
      <c r="K7" s="4">
        <f>_xlfn.COVARIANCE.P(A2:A13,C2:C13)</f>
        <v>-251982.02777777772</v>
      </c>
    </row>
    <row r="8" spans="1:11" x14ac:dyDescent="0.25">
      <c r="A8">
        <v>4589</v>
      </c>
      <c r="B8">
        <v>9224</v>
      </c>
      <c r="C8">
        <v>8639</v>
      </c>
      <c r="J8" s="4" t="s">
        <v>34</v>
      </c>
      <c r="K8" s="4">
        <f>_xlfn.COVARIANCE.P(B2:B13,C2:C13)</f>
        <v>-35062.527777777788</v>
      </c>
    </row>
    <row r="9" spans="1:11" x14ac:dyDescent="0.25">
      <c r="A9">
        <v>6098</v>
      </c>
      <c r="B9">
        <v>2315</v>
      </c>
      <c r="C9">
        <v>5000</v>
      </c>
    </row>
    <row r="10" spans="1:11" x14ac:dyDescent="0.25">
      <c r="A10">
        <v>7312</v>
      </c>
      <c r="B10">
        <v>8665</v>
      </c>
      <c r="C10">
        <v>5041</v>
      </c>
      <c r="E10" s="8" t="s">
        <v>37</v>
      </c>
      <c r="F10" s="8"/>
      <c r="G10" s="8"/>
      <c r="H10" s="8"/>
      <c r="I10" s="8"/>
      <c r="J10" s="8"/>
      <c r="K10" s="8"/>
    </row>
    <row r="11" spans="1:11" x14ac:dyDescent="0.25">
      <c r="A11">
        <v>8361</v>
      </c>
      <c r="B11">
        <v>4629</v>
      </c>
      <c r="C11">
        <v>7371</v>
      </c>
      <c r="E11" s="8"/>
      <c r="F11" s="8"/>
      <c r="G11" s="8"/>
      <c r="H11" s="8"/>
      <c r="I11" s="8"/>
      <c r="J11" s="8"/>
      <c r="K11" s="8"/>
    </row>
    <row r="12" spans="1:11" x14ac:dyDescent="0.25">
      <c r="A12">
        <v>5343</v>
      </c>
      <c r="B12">
        <v>5126</v>
      </c>
      <c r="C12">
        <v>6777</v>
      </c>
      <c r="E12" s="8"/>
      <c r="F12" s="8"/>
      <c r="G12" s="8"/>
      <c r="H12" s="8"/>
      <c r="I12" s="8"/>
      <c r="J12" s="8"/>
      <c r="K12" s="8"/>
    </row>
    <row r="13" spans="1:11" x14ac:dyDescent="0.25">
      <c r="A13">
        <v>8265</v>
      </c>
      <c r="B13">
        <v>3341</v>
      </c>
      <c r="C13">
        <v>7609</v>
      </c>
    </row>
  </sheetData>
  <mergeCells count="1">
    <mergeCell ref="E10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5F7F-BEF9-4519-88CB-808698EEC22F}">
  <dimension ref="A1:K13"/>
  <sheetViews>
    <sheetView tabSelected="1" workbookViewId="0">
      <selection sqref="A1:C13"/>
    </sheetView>
  </sheetViews>
  <sheetFormatPr defaultRowHeight="15" x14ac:dyDescent="0.25"/>
  <cols>
    <col min="1" max="1" width="14.7109375" bestFit="1" customWidth="1"/>
    <col min="2" max="2" width="14.5703125" bestFit="1" customWidth="1"/>
    <col min="3" max="3" width="14.140625" customWidth="1"/>
    <col min="6" max="6" width="15.5703125" customWidth="1"/>
    <col min="7" max="7" width="19.28515625" customWidth="1"/>
    <col min="8" max="9" width="15.7109375" customWidth="1"/>
    <col min="11" max="11" width="17.7109375" customWidth="1"/>
  </cols>
  <sheetData>
    <row r="1" spans="1:11" x14ac:dyDescent="0.25">
      <c r="A1" t="s">
        <v>2</v>
      </c>
      <c r="B1" t="s">
        <v>3</v>
      </c>
      <c r="C1" t="s">
        <v>4</v>
      </c>
      <c r="E1" s="3"/>
      <c r="F1" s="3" t="s">
        <v>2</v>
      </c>
      <c r="G1" s="3" t="s">
        <v>3</v>
      </c>
      <c r="H1" s="3" t="s">
        <v>4</v>
      </c>
      <c r="I1" s="6"/>
      <c r="K1" s="6" t="s">
        <v>38</v>
      </c>
    </row>
    <row r="2" spans="1:11" x14ac:dyDescent="0.25">
      <c r="A2">
        <v>5674</v>
      </c>
      <c r="B2">
        <v>6721</v>
      </c>
      <c r="C2">
        <v>3947</v>
      </c>
      <c r="E2" s="1" t="s">
        <v>2</v>
      </c>
      <c r="F2" s="1">
        <v>1</v>
      </c>
      <c r="G2" s="1"/>
      <c r="H2" s="1"/>
      <c r="I2" s="1"/>
      <c r="J2" t="s">
        <v>33</v>
      </c>
      <c r="K2">
        <v>0.151226861661516</v>
      </c>
    </row>
    <row r="3" spans="1:11" x14ac:dyDescent="0.25">
      <c r="A3">
        <v>3598</v>
      </c>
      <c r="B3">
        <v>9374</v>
      </c>
      <c r="C3">
        <v>7272</v>
      </c>
      <c r="E3" s="1" t="s">
        <v>3</v>
      </c>
      <c r="F3" s="1">
        <v>-0.151226861661516</v>
      </c>
      <c r="G3" s="1">
        <v>1</v>
      </c>
      <c r="H3" s="1"/>
      <c r="I3" s="1"/>
      <c r="J3" t="s">
        <v>35</v>
      </c>
      <c r="K3">
        <v>-0.105966281489386</v>
      </c>
    </row>
    <row r="4" spans="1:11" ht="15.75" thickBot="1" x14ac:dyDescent="0.3">
      <c r="A4">
        <v>8765</v>
      </c>
      <c r="B4">
        <v>9272</v>
      </c>
      <c r="C4">
        <v>5100</v>
      </c>
      <c r="E4" s="2" t="s">
        <v>4</v>
      </c>
      <c r="F4" s="2">
        <v>-0.105966281489386</v>
      </c>
      <c r="G4" s="2">
        <v>-1.05287764053183E-2</v>
      </c>
      <c r="H4" s="2">
        <v>1</v>
      </c>
      <c r="I4" s="1"/>
      <c r="J4" t="s">
        <v>34</v>
      </c>
      <c r="K4">
        <v>-1.05287764053183E-2</v>
      </c>
    </row>
    <row r="5" spans="1:11" x14ac:dyDescent="0.25">
      <c r="A5">
        <v>4539</v>
      </c>
      <c r="B5">
        <v>6473</v>
      </c>
      <c r="C5">
        <v>4545</v>
      </c>
    </row>
    <row r="6" spans="1:11" x14ac:dyDescent="0.25">
      <c r="A6">
        <v>6238</v>
      </c>
      <c r="B6">
        <v>3948</v>
      </c>
      <c r="C6">
        <v>6512</v>
      </c>
    </row>
    <row r="7" spans="1:11" x14ac:dyDescent="0.25">
      <c r="A7">
        <v>8728</v>
      </c>
      <c r="B7">
        <v>7972</v>
      </c>
      <c r="C7">
        <v>5623</v>
      </c>
    </row>
    <row r="8" spans="1:11" x14ac:dyDescent="0.25">
      <c r="A8">
        <v>4589</v>
      </c>
      <c r="B8">
        <v>9224</v>
      </c>
      <c r="C8">
        <v>8639</v>
      </c>
    </row>
    <row r="9" spans="1:11" x14ac:dyDescent="0.25">
      <c r="A9">
        <v>6098</v>
      </c>
      <c r="B9">
        <v>2315</v>
      </c>
      <c r="C9">
        <v>5000</v>
      </c>
    </row>
    <row r="10" spans="1:11" x14ac:dyDescent="0.25">
      <c r="A10">
        <v>7312</v>
      </c>
      <c r="B10">
        <v>8665</v>
      </c>
      <c r="C10">
        <v>5041</v>
      </c>
    </row>
    <row r="11" spans="1:11" x14ac:dyDescent="0.25">
      <c r="A11">
        <v>8361</v>
      </c>
      <c r="B11">
        <v>4629</v>
      </c>
      <c r="C11">
        <v>7371</v>
      </c>
    </row>
    <row r="12" spans="1:11" x14ac:dyDescent="0.25">
      <c r="A12">
        <v>5343</v>
      </c>
      <c r="B12">
        <v>5126</v>
      </c>
      <c r="C12">
        <v>6777</v>
      </c>
    </row>
    <row r="13" spans="1:11" x14ac:dyDescent="0.25">
      <c r="A13">
        <v>8265</v>
      </c>
      <c r="B13">
        <v>3341</v>
      </c>
      <c r="C13">
        <v>7609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Moving_average</vt:lpstr>
      <vt:lpstr>Anova</vt:lpstr>
      <vt:lpstr>Covariance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garcia</dc:creator>
  <cp:lastModifiedBy>alan garcia</cp:lastModifiedBy>
  <dcterms:created xsi:type="dcterms:W3CDTF">2026-08-31T16:51:53Z</dcterms:created>
  <dcterms:modified xsi:type="dcterms:W3CDTF">2026-09-02T22:40:43Z</dcterms:modified>
</cp:coreProperties>
</file>